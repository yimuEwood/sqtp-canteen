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n83\Desktop\SQTP\"/>
    </mc:Choice>
  </mc:AlternateContent>
  <xr:revisionPtr revIDLastSave="0" documentId="13_ncr:1_{E90E0DBE-9024-4EFA-A63A-82C1B8B3F487}" xr6:coauthVersionLast="47" xr6:coauthVersionMax="47" xr10:uidLastSave="{00000000-0000-0000-0000-000000000000}"/>
  <bookViews>
    <workbookView xWindow="-110" yWindow="-110" windowWidth="19420" windowHeight="11500" activeTab="6" xr2:uid="{00000000-000D-0000-FFFF-FFFF00000000}"/>
  </bookViews>
  <sheets>
    <sheet name="玉湖" sheetId="3" r:id="rId1"/>
    <sheet name="澄月" sheetId="4" r:id="rId2"/>
    <sheet name="银泉" sheetId="5" r:id="rId3"/>
    <sheet name="大食堂" sheetId="6" r:id="rId4"/>
    <sheet name="临湖" sheetId="7" r:id="rId5"/>
    <sheet name="麦斯威" sheetId="8" r:id="rId6"/>
    <sheet name="麦香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9" l="1"/>
  <c r="N4" i="9"/>
  <c r="N3" i="9"/>
  <c r="N5" i="8"/>
  <c r="N4" i="8"/>
  <c r="N3" i="8"/>
  <c r="N5" i="7"/>
  <c r="N4" i="7"/>
  <c r="N3" i="7"/>
  <c r="N5" i="6"/>
  <c r="N4" i="6"/>
  <c r="N3" i="6"/>
  <c r="N5" i="5"/>
  <c r="N4" i="5"/>
  <c r="N3" i="5"/>
  <c r="N5" i="4"/>
  <c r="N4" i="4"/>
  <c r="N3" i="4"/>
  <c r="N5" i="3"/>
  <c r="N4" i="3"/>
  <c r="N3" i="3"/>
</calcChain>
</file>

<file path=xl/sharedStrings.xml><?xml version="1.0" encoding="utf-8"?>
<sst xmlns="http://schemas.openxmlformats.org/spreadsheetml/2006/main" count="126" uniqueCount="30">
  <si>
    <t>记录人员</t>
  </si>
  <si>
    <t>备注</t>
  </si>
  <si>
    <t>编号</t>
  </si>
  <si>
    <t>餐品名称</t>
  </si>
  <si>
    <t>餐品价格(¥)</t>
  </si>
  <si>
    <t>记录日期</t>
  </si>
  <si>
    <t>餐品类型</t>
  </si>
  <si>
    <t>总热量(kcal)</t>
  </si>
  <si>
    <t>记录状态</t>
  </si>
  <si>
    <t>风味</t>
  </si>
  <si>
    <t>广式米粉</t>
  </si>
  <si>
    <t>叉烧米粉</t>
  </si>
  <si>
    <t>杨潘</t>
  </si>
  <si>
    <t>主食</t>
  </si>
  <si>
    <t>已完成</t>
  </si>
  <si>
    <t>示例</t>
  </si>
  <si>
    <t>玉湖 · 餐品记录明细</t>
  </si>
  <si>
    <t>← 返回索引</t>
  </si>
  <si>
    <t>区域</t>
  </si>
  <si>
    <t>窗口名称</t>
  </si>
  <si>
    <t>本表统计</t>
  </si>
  <si>
    <t>已记录餐品：</t>
  </si>
  <si>
    <t>已完成：</t>
  </si>
  <si>
    <t>进行中：</t>
  </si>
  <si>
    <t>澄月 · 餐品记录明细</t>
  </si>
  <si>
    <t>银泉 · 餐品记录明细</t>
  </si>
  <si>
    <t>大食堂 · 餐品记录明细</t>
  </si>
  <si>
    <t>临湖 · 餐品记录明细</t>
  </si>
  <si>
    <t>麦斯威 · 餐品记录明细</t>
  </si>
  <si>
    <t>麦香 · 餐品记录明细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</si>
</sst>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.5"/>
      <color rgb="FF404040"/>
      <name val="微软雅黑"/>
      <family val="2"/>
      <charset val="134"/>
    </font>
    <font>
      <b/>
      <sz val="9.5"/>
      <color rgb="FF1F3864"/>
      <name val="微软雅黑"/>
      <family val="2"/>
      <charset val="134"/>
    </font>
    <font>
      <b/>
      <sz val="13"/>
      <color rgb="FF1F3864"/>
      <name val="微软雅黑"/>
      <family val="2"/>
      <charset val="134"/>
    </font>
    <font>
      <u/>
      <sz val="9"/>
      <color rgb="FF2E74B5"/>
      <name val="微软雅黑"/>
      <family val="2"/>
      <charset val="134"/>
    </font>
    <font>
      <b/>
      <sz val="13"/>
      <color rgb="FF1A3A0A"/>
      <name val="微软雅黑"/>
      <family val="2"/>
      <charset val="134"/>
    </font>
    <font>
      <b/>
      <sz val="9.5"/>
      <color rgb="FF1A3A0A"/>
      <name val="微软雅黑"/>
      <family val="2"/>
      <charset val="134"/>
    </font>
    <font>
      <b/>
      <sz val="13"/>
      <color rgb="FF4D3800"/>
      <name val="微软雅黑"/>
      <family val="2"/>
      <charset val="134"/>
    </font>
    <font>
      <b/>
      <sz val="9.5"/>
      <color rgb="FF4D3800"/>
      <name val="微软雅黑"/>
      <family val="2"/>
      <charset val="134"/>
    </font>
    <font>
      <b/>
      <sz val="13"/>
      <color rgb="FF4D1F00"/>
      <name val="微软雅黑"/>
      <family val="2"/>
      <charset val="134"/>
    </font>
    <font>
      <b/>
      <sz val="9.5"/>
      <color rgb="FF4D1F00"/>
      <name val="微软雅黑"/>
      <family val="2"/>
      <charset val="134"/>
    </font>
    <font>
      <b/>
      <sz val="13"/>
      <color rgb="FF2A0D52"/>
      <name val="微软雅黑"/>
      <family val="2"/>
      <charset val="134"/>
    </font>
    <font>
      <b/>
      <sz val="9.5"/>
      <color rgb="FF2A0D52"/>
      <name val="微软雅黑"/>
      <family val="2"/>
      <charset val="134"/>
    </font>
    <font>
      <b/>
      <sz val="13"/>
      <color rgb="FF7B1F00"/>
      <name val="微软雅黑"/>
      <family val="2"/>
      <charset val="134"/>
    </font>
    <font>
      <b/>
      <sz val="9.5"/>
      <color rgb="FF7B1F00"/>
      <name val="微软雅黑"/>
      <family val="2"/>
      <charset val="134"/>
    </font>
    <font>
      <b/>
      <sz val="13"/>
      <color rgb="FF0A2A0D"/>
      <name val="微软雅黑"/>
      <family val="2"/>
      <charset val="134"/>
    </font>
    <font>
      <b/>
      <sz val="9.5"/>
      <color rgb="FF0A2A0D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.5"/>
      <color rgb="FFFF0000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2E74B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FDE8D8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F6000"/>
      </patternFill>
    </fill>
    <fill>
      <patternFill patternType="solid">
        <fgColor rgb="FF843C0C"/>
      </patternFill>
    </fill>
    <fill>
      <patternFill patternType="solid">
        <fgColor rgb="FF4A148C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9" fillId="0" borderId="0" xfId="0" applyFont="1"/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3" fillId="0" borderId="0" xfId="0" applyFont="1"/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15" fillId="0" borderId="0" xfId="0" applyFont="1"/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7" fillId="0" borderId="0" xfId="0" applyFont="1"/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</cellXfs>
  <cellStyles count="1">
    <cellStyle name="常规" xfId="0" builtinId="0"/>
  </cellStyles>
  <dxfs count="21"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  <dxf>
      <font>
        <sz val="9.5"/>
        <color rgb="FF843C0C"/>
        <name val="微软雅黑"/>
      </font>
      <fill>
        <patternFill patternType="solid">
          <fgColor rgb="FFFCE4D6"/>
        </patternFill>
      </fill>
    </dxf>
    <dxf>
      <font>
        <sz val="9.5"/>
        <color rgb="FF7F6000"/>
        <name val="微软雅黑"/>
      </font>
      <fill>
        <patternFill patternType="solid">
          <fgColor rgb="FFFFF2CC"/>
        </patternFill>
      </fill>
    </dxf>
    <dxf>
      <font>
        <sz val="9.5"/>
        <color rgb="FF375623"/>
        <name val="微软雅黑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showGridLines="0" workbookViewId="0">
      <pane ySplit="2" topLeftCell="A3" activePane="bottomLeft" state="frozen"/>
      <selection pane="bottomLeft" activeCell="I18" sqref="I18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39" t="s">
        <v>16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1" t="s">
        <v>2</v>
      </c>
      <c r="B2" s="1" t="s">
        <v>18</v>
      </c>
      <c r="C2" s="1" t="s">
        <v>19</v>
      </c>
      <c r="D2" s="1" t="s">
        <v>3</v>
      </c>
      <c r="E2" s="1" t="s">
        <v>4</v>
      </c>
      <c r="F2" s="1" t="s">
        <v>0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</v>
      </c>
      <c r="M2" s="7" t="s">
        <v>20</v>
      </c>
    </row>
    <row r="3" spans="1:14" ht="20" customHeight="1" x14ac:dyDescent="0.25">
      <c r="A3" s="34">
        <v>1</v>
      </c>
      <c r="B3" s="34" t="s">
        <v>9</v>
      </c>
      <c r="C3" s="34" t="s">
        <v>10</v>
      </c>
      <c r="D3" s="34" t="s">
        <v>11</v>
      </c>
      <c r="E3" s="34">
        <v>22</v>
      </c>
      <c r="F3" s="34" t="s">
        <v>12</v>
      </c>
      <c r="G3" s="36">
        <v>46108</v>
      </c>
      <c r="H3" s="34" t="s">
        <v>13</v>
      </c>
      <c r="I3" s="34">
        <v>700</v>
      </c>
      <c r="J3" s="34" t="s">
        <v>14</v>
      </c>
      <c r="K3" s="35" t="s">
        <v>15</v>
      </c>
      <c r="M3" s="8" t="s">
        <v>21</v>
      </c>
      <c r="N3" s="9">
        <f>COUNTA(D3:D500)</f>
        <v>1</v>
      </c>
    </row>
    <row r="4" spans="1:14" ht="20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M4" s="8" t="s">
        <v>22</v>
      </c>
      <c r="N4" s="9">
        <f>COUNTIF(J3:J500,"已完成")</f>
        <v>1</v>
      </c>
    </row>
    <row r="5" spans="1:14" ht="2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M5" s="8" t="s">
        <v>23</v>
      </c>
      <c r="N5" s="9">
        <f>COUNTIF(J3:J500,"进行中")</f>
        <v>0</v>
      </c>
    </row>
    <row r="6" spans="1:14" ht="20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4" ht="2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4" ht="20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4" ht="2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 ht="20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4" ht="2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 ht="20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4" ht="20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 ht="20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4" ht="20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 ht="20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20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0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0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0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20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0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</sheetData>
  <mergeCells count="1">
    <mergeCell ref="A1:J1"/>
  </mergeCells>
  <phoneticPr fontId="18" type="noConversion"/>
  <conditionalFormatting sqref="J3:J500">
    <cfRule type="cellIs" dxfId="20" priority="1" operator="equal">
      <formula>"已完成"</formula>
    </cfRule>
    <cfRule type="cellIs" dxfId="19" priority="2" operator="equal">
      <formula>"进行中"</formula>
    </cfRule>
    <cfRule type="cellIs" dxfId="18" priority="3" operator="equal">
      <formula>"重复（已跳过）"</formula>
    </cfRule>
  </conditionalFormatting>
  <dataValidations count="2">
    <dataValidation type="list" allowBlank="1" sqref="J3:J500" xr:uid="{00000000-0002-0000-0200-000000000000}">
      <formula1>"已完成,进行中,待记录,重复（已跳过）"</formula1>
    </dataValidation>
    <dataValidation type="list" allowBlank="1" sqref="H3:H500" xr:uid="{00000000-0002-0000-0200-000001000000}">
      <formula1>"主食,副食,汤品,小吃,饮品,套餐,其他"</formula1>
    </dataValidation>
  </dataValidations>
  <hyperlinks>
    <hyperlink ref="L1" location="食堂索引!A1" display="← 返回索引" xr:uid="{00000000-0004-0000-02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showGridLines="0" workbookViewId="0">
      <pane ySplit="2" topLeftCell="A3" activePane="bottomLeft" state="frozen"/>
      <selection pane="bottomLeft" activeCell="I18" sqref="I18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0" t="s">
        <v>24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10" t="s">
        <v>2</v>
      </c>
      <c r="B2" s="10" t="s">
        <v>18</v>
      </c>
      <c r="C2" s="10" t="s">
        <v>19</v>
      </c>
      <c r="D2" s="10" t="s">
        <v>3</v>
      </c>
      <c r="E2" s="10" t="s">
        <v>4</v>
      </c>
      <c r="F2" s="10" t="s">
        <v>0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1</v>
      </c>
      <c r="M2" s="11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12" t="s">
        <v>21</v>
      </c>
      <c r="N3" s="13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12" t="s">
        <v>22</v>
      </c>
      <c r="N4" s="13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12" t="s">
        <v>23</v>
      </c>
      <c r="N5" s="13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17" priority="1" operator="equal">
      <formula>"已完成"</formula>
    </cfRule>
    <cfRule type="cellIs" dxfId="16" priority="2" operator="equal">
      <formula>"进行中"</formula>
    </cfRule>
    <cfRule type="cellIs" dxfId="15" priority="3" operator="equal">
      <formula>"重复（已跳过）"</formula>
    </cfRule>
  </conditionalFormatting>
  <dataValidations count="2">
    <dataValidation type="list" allowBlank="1" sqref="J3:J500" xr:uid="{00000000-0002-0000-0300-000000000000}">
      <formula1>"已完成,进行中,待记录,重复（已跳过）"</formula1>
    </dataValidation>
    <dataValidation type="list" allowBlank="1" sqref="H3:H500" xr:uid="{00000000-0002-0000-0300-000001000000}">
      <formula1>"主食,副食,汤品,小吃,饮品,套餐,其他"</formula1>
    </dataValidation>
  </dataValidations>
  <hyperlinks>
    <hyperlink ref="L1" location="食堂索引!A1" display="← 返回索引" xr:uid="{00000000-0004-0000-03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showGridLines="0" workbookViewId="0">
      <pane ySplit="2" topLeftCell="A3" activePane="bottomLeft" state="frozen"/>
      <selection pane="bottomLeft" sqref="A1:J1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1" t="s">
        <v>25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14" t="s">
        <v>2</v>
      </c>
      <c r="B2" s="14" t="s">
        <v>18</v>
      </c>
      <c r="C2" s="14" t="s">
        <v>19</v>
      </c>
      <c r="D2" s="14" t="s">
        <v>3</v>
      </c>
      <c r="E2" s="14" t="s">
        <v>4</v>
      </c>
      <c r="F2" s="14" t="s">
        <v>0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1</v>
      </c>
      <c r="M2" s="15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16" t="s">
        <v>21</v>
      </c>
      <c r="N3" s="17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16" t="s">
        <v>22</v>
      </c>
      <c r="N4" s="17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16" t="s">
        <v>23</v>
      </c>
      <c r="N5" s="17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14" priority="1" operator="equal">
      <formula>"已完成"</formula>
    </cfRule>
    <cfRule type="cellIs" dxfId="13" priority="2" operator="equal">
      <formula>"进行中"</formula>
    </cfRule>
    <cfRule type="cellIs" dxfId="12" priority="3" operator="equal">
      <formula>"重复（已跳过）"</formula>
    </cfRule>
  </conditionalFormatting>
  <dataValidations count="2">
    <dataValidation type="list" allowBlank="1" sqref="J3:J500" xr:uid="{00000000-0002-0000-0400-000000000000}">
      <formula1>"已完成,进行中,待记录,重复（已跳过）"</formula1>
    </dataValidation>
    <dataValidation type="list" allowBlank="1" sqref="H3:H500" xr:uid="{00000000-0002-0000-0400-000001000000}">
      <formula1>"主食,副食,汤品,小吃,饮品,套餐,其他"</formula1>
    </dataValidation>
  </dataValidations>
  <hyperlinks>
    <hyperlink ref="L1" location="食堂索引!A1" display="← 返回索引" xr:uid="{00000000-0004-0000-04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"/>
  <sheetViews>
    <sheetView showGridLines="0" workbookViewId="0">
      <pane ySplit="2" topLeftCell="A3" activePane="bottomLeft" state="frozen"/>
      <selection pane="bottomLeft" sqref="A1:J1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2" t="s">
        <v>26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18" t="s">
        <v>2</v>
      </c>
      <c r="B2" s="18" t="s">
        <v>18</v>
      </c>
      <c r="C2" s="18" t="s">
        <v>19</v>
      </c>
      <c r="D2" s="18" t="s">
        <v>3</v>
      </c>
      <c r="E2" s="18" t="s">
        <v>4</v>
      </c>
      <c r="F2" s="18" t="s">
        <v>0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1</v>
      </c>
      <c r="M2" s="19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20" t="s">
        <v>21</v>
      </c>
      <c r="N3" s="21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20" t="s">
        <v>22</v>
      </c>
      <c r="N4" s="21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20" t="s">
        <v>23</v>
      </c>
      <c r="N5" s="21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11" priority="1" operator="equal">
      <formula>"已完成"</formula>
    </cfRule>
    <cfRule type="cellIs" dxfId="10" priority="2" operator="equal">
      <formula>"进行中"</formula>
    </cfRule>
    <cfRule type="cellIs" dxfId="9" priority="3" operator="equal">
      <formula>"重复（已跳过）"</formula>
    </cfRule>
  </conditionalFormatting>
  <dataValidations count="2">
    <dataValidation type="list" allowBlank="1" sqref="J3:J500" xr:uid="{00000000-0002-0000-0500-000000000000}">
      <formula1>"已完成,进行中,待记录,重复（已跳过）"</formula1>
    </dataValidation>
    <dataValidation type="list" allowBlank="1" sqref="H3:H500" xr:uid="{00000000-0002-0000-0500-000001000000}">
      <formula1>"主食,副食,汤品,小吃,饮品,套餐,其他"</formula1>
    </dataValidation>
  </dataValidations>
  <hyperlinks>
    <hyperlink ref="L1" location="食堂索引!A1" display="← 返回索引" xr:uid="{00000000-0004-0000-0500-00000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showGridLines="0" workbookViewId="0">
      <pane ySplit="2" topLeftCell="A3" activePane="bottomLeft" state="frozen"/>
      <selection pane="bottomLeft" sqref="A1:J1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3" t="s">
        <v>27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22" t="s">
        <v>2</v>
      </c>
      <c r="B2" s="22" t="s">
        <v>18</v>
      </c>
      <c r="C2" s="22" t="s">
        <v>19</v>
      </c>
      <c r="D2" s="22" t="s">
        <v>3</v>
      </c>
      <c r="E2" s="22" t="s">
        <v>4</v>
      </c>
      <c r="F2" s="22" t="s">
        <v>0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1</v>
      </c>
      <c r="M2" s="23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24" t="s">
        <v>21</v>
      </c>
      <c r="N3" s="25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24" t="s">
        <v>22</v>
      </c>
      <c r="N4" s="25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24" t="s">
        <v>23</v>
      </c>
      <c r="N5" s="25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8" priority="1" operator="equal">
      <formula>"已完成"</formula>
    </cfRule>
    <cfRule type="cellIs" dxfId="7" priority="2" operator="equal">
      <formula>"进行中"</formula>
    </cfRule>
    <cfRule type="cellIs" dxfId="6" priority="3" operator="equal">
      <formula>"重复（已跳过）"</formula>
    </cfRule>
  </conditionalFormatting>
  <dataValidations count="2">
    <dataValidation type="list" allowBlank="1" sqref="J3:J500" xr:uid="{00000000-0002-0000-0600-000000000000}">
      <formula1>"已完成,进行中,待记录,重复（已跳过）"</formula1>
    </dataValidation>
    <dataValidation type="list" allowBlank="1" sqref="H3:H500" xr:uid="{00000000-0002-0000-0600-000001000000}">
      <formula1>"主食,副食,汤品,小吃,饮品,套餐,其他"</formula1>
    </dataValidation>
  </dataValidations>
  <hyperlinks>
    <hyperlink ref="L1" location="食堂索引!A1" display="← 返回索引" xr:uid="{00000000-0004-0000-06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2"/>
  <sheetViews>
    <sheetView showGridLines="0" workbookViewId="0">
      <pane ySplit="2" topLeftCell="A3" activePane="bottomLeft" state="frozen"/>
      <selection pane="bottomLeft" sqref="A1:J1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4" t="s">
        <v>28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26" t="s">
        <v>2</v>
      </c>
      <c r="B2" s="26" t="s">
        <v>18</v>
      </c>
      <c r="C2" s="26" t="s">
        <v>19</v>
      </c>
      <c r="D2" s="26" t="s">
        <v>3</v>
      </c>
      <c r="E2" s="26" t="s">
        <v>4</v>
      </c>
      <c r="F2" s="26" t="s">
        <v>0</v>
      </c>
      <c r="G2" s="26" t="s">
        <v>5</v>
      </c>
      <c r="H2" s="26" t="s">
        <v>6</v>
      </c>
      <c r="I2" s="26" t="s">
        <v>7</v>
      </c>
      <c r="J2" s="26" t="s">
        <v>8</v>
      </c>
      <c r="K2" s="26" t="s">
        <v>1</v>
      </c>
      <c r="M2" s="27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28" t="s">
        <v>21</v>
      </c>
      <c r="N3" s="29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28" t="s">
        <v>22</v>
      </c>
      <c r="N4" s="29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28" t="s">
        <v>23</v>
      </c>
      <c r="N5" s="29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5" priority="1" operator="equal">
      <formula>"已完成"</formula>
    </cfRule>
    <cfRule type="cellIs" dxfId="4" priority="2" operator="equal">
      <formula>"进行中"</formula>
    </cfRule>
    <cfRule type="cellIs" dxfId="3" priority="3" operator="equal">
      <formula>"重复（已跳过）"</formula>
    </cfRule>
  </conditionalFormatting>
  <dataValidations count="2">
    <dataValidation type="list" allowBlank="1" sqref="J3:J500" xr:uid="{00000000-0002-0000-0700-000000000000}">
      <formula1>"已完成,进行中,待记录,重复（已跳过）"</formula1>
    </dataValidation>
    <dataValidation type="list" allowBlank="1" sqref="H3:H500" xr:uid="{00000000-0002-0000-0700-000001000000}">
      <formula1>"主食,副食,汤品,小吃,饮品,套餐,其他"</formula1>
    </dataValidation>
  </dataValidations>
  <hyperlinks>
    <hyperlink ref="L1" location="食堂索引!A1" display="← 返回索引" xr:uid="{00000000-0004-0000-07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2"/>
  <sheetViews>
    <sheetView showGridLines="0" tabSelected="1" workbookViewId="0">
      <pane ySplit="2" topLeftCell="A3" activePane="bottomLeft" state="frozen"/>
      <selection pane="bottomLeft" activeCell="E19" sqref="E19"/>
    </sheetView>
  </sheetViews>
  <sheetFormatPr defaultRowHeight="14" x14ac:dyDescent="0.25"/>
  <cols>
    <col min="1" max="1" width="6" style="37" customWidth="1"/>
    <col min="2" max="2" width="10" style="37" customWidth="1"/>
    <col min="3" max="3" width="14" style="37" customWidth="1"/>
    <col min="4" max="4" width="20" style="37" customWidth="1"/>
    <col min="5" max="6" width="12" style="37" customWidth="1"/>
    <col min="7" max="7" width="14" style="37" customWidth="1"/>
    <col min="8" max="8" width="10" style="37" customWidth="1"/>
    <col min="9" max="10" width="13" style="37" customWidth="1"/>
    <col min="11" max="11" width="22" style="37" customWidth="1"/>
    <col min="12" max="13" width="12" style="37" customWidth="1"/>
    <col min="14" max="14" width="8" style="37" customWidth="1"/>
  </cols>
  <sheetData>
    <row r="1" spans="1:14" ht="34" customHeight="1" x14ac:dyDescent="0.25">
      <c r="A1" s="45" t="s">
        <v>29</v>
      </c>
      <c r="B1" s="38"/>
      <c r="C1" s="38"/>
      <c r="D1" s="38"/>
      <c r="E1" s="38"/>
      <c r="F1" s="38"/>
      <c r="G1" s="38"/>
      <c r="H1" s="38"/>
      <c r="I1" s="38"/>
      <c r="J1" s="38"/>
      <c r="L1" s="6" t="s">
        <v>17</v>
      </c>
    </row>
    <row r="2" spans="1:14" ht="26" customHeight="1" x14ac:dyDescent="0.4">
      <c r="A2" s="30" t="s">
        <v>2</v>
      </c>
      <c r="B2" s="30" t="s">
        <v>18</v>
      </c>
      <c r="C2" s="30" t="s">
        <v>19</v>
      </c>
      <c r="D2" s="30" t="s">
        <v>3</v>
      </c>
      <c r="E2" s="30" t="s">
        <v>4</v>
      </c>
      <c r="F2" s="30" t="s">
        <v>0</v>
      </c>
      <c r="G2" s="30" t="s">
        <v>5</v>
      </c>
      <c r="H2" s="30" t="s">
        <v>6</v>
      </c>
      <c r="I2" s="30" t="s">
        <v>7</v>
      </c>
      <c r="J2" s="30" t="s">
        <v>8</v>
      </c>
      <c r="K2" s="30" t="s">
        <v>1</v>
      </c>
      <c r="M2" s="31" t="s">
        <v>20</v>
      </c>
    </row>
    <row r="3" spans="1:14" ht="20" customHeight="1" x14ac:dyDescent="0.25">
      <c r="A3" s="2"/>
      <c r="B3" s="2"/>
      <c r="C3" s="2"/>
      <c r="D3" s="3"/>
      <c r="E3" s="2"/>
      <c r="F3" s="2"/>
      <c r="G3" s="2"/>
      <c r="H3" s="2"/>
      <c r="I3" s="2"/>
      <c r="J3" s="2"/>
      <c r="K3" s="3"/>
      <c r="M3" s="32" t="s">
        <v>21</v>
      </c>
      <c r="N3" s="33">
        <f>COUNTA(D3:D500)</f>
        <v>0</v>
      </c>
    </row>
    <row r="4" spans="1:14" ht="20" customHeight="1" x14ac:dyDescent="0.25">
      <c r="A4" s="4"/>
      <c r="B4" s="4"/>
      <c r="C4" s="4"/>
      <c r="D4" s="5"/>
      <c r="E4" s="4"/>
      <c r="F4" s="4"/>
      <c r="G4" s="4"/>
      <c r="H4" s="4"/>
      <c r="I4" s="4"/>
      <c r="J4" s="4"/>
      <c r="K4" s="5"/>
      <c r="M4" s="32" t="s">
        <v>22</v>
      </c>
      <c r="N4" s="33">
        <f>COUNTIF(J3:J500,"已完成")</f>
        <v>0</v>
      </c>
    </row>
    <row r="5" spans="1:14" ht="20" customHeight="1" x14ac:dyDescent="0.25">
      <c r="A5" s="2"/>
      <c r="B5" s="2"/>
      <c r="C5" s="2"/>
      <c r="D5" s="3"/>
      <c r="E5" s="2"/>
      <c r="F5" s="2"/>
      <c r="G5" s="2"/>
      <c r="H5" s="2"/>
      <c r="I5" s="2"/>
      <c r="J5" s="2"/>
      <c r="K5" s="3"/>
      <c r="M5" s="32" t="s">
        <v>23</v>
      </c>
      <c r="N5" s="33">
        <f>COUNTIF(J3:J500,"进行中")</f>
        <v>0</v>
      </c>
    </row>
    <row r="6" spans="1:14" ht="20" customHeight="1" x14ac:dyDescent="0.25">
      <c r="A6" s="4"/>
      <c r="B6" s="4"/>
      <c r="C6" s="4"/>
      <c r="D6" s="5"/>
      <c r="E6" s="4"/>
      <c r="F6" s="4"/>
      <c r="G6" s="4"/>
      <c r="H6" s="4"/>
      <c r="I6" s="4"/>
      <c r="J6" s="4"/>
      <c r="K6" s="5"/>
    </row>
    <row r="7" spans="1:14" ht="20" customHeight="1" x14ac:dyDescent="0.25">
      <c r="A7" s="2"/>
      <c r="B7" s="2"/>
      <c r="C7" s="2"/>
      <c r="D7" s="3"/>
      <c r="E7" s="2"/>
      <c r="F7" s="2"/>
      <c r="G7" s="2"/>
      <c r="H7" s="2"/>
      <c r="I7" s="2"/>
      <c r="J7" s="2"/>
      <c r="K7" s="3"/>
    </row>
    <row r="8" spans="1:14" ht="20" customHeight="1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5"/>
    </row>
    <row r="9" spans="1:14" ht="20" customHeight="1" x14ac:dyDescent="0.25">
      <c r="A9" s="2"/>
      <c r="B9" s="2"/>
      <c r="C9" s="2"/>
      <c r="D9" s="3"/>
      <c r="E9" s="2"/>
      <c r="F9" s="2"/>
      <c r="G9" s="2"/>
      <c r="H9" s="2"/>
      <c r="I9" s="2"/>
      <c r="J9" s="2"/>
      <c r="K9" s="3"/>
    </row>
    <row r="10" spans="1:14" ht="20" customHeight="1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5"/>
    </row>
    <row r="11" spans="1:14" ht="20" customHeight="1" x14ac:dyDescent="0.25">
      <c r="A11" s="2"/>
      <c r="B11" s="2"/>
      <c r="C11" s="2"/>
      <c r="D11" s="3"/>
      <c r="E11" s="2"/>
      <c r="F11" s="2"/>
      <c r="G11" s="2"/>
      <c r="H11" s="2"/>
      <c r="I11" s="2"/>
      <c r="J11" s="2"/>
      <c r="K11" s="3"/>
    </row>
    <row r="12" spans="1:14" ht="20" customHeight="1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5"/>
    </row>
    <row r="13" spans="1:14" ht="20" customHeight="1" x14ac:dyDescent="0.25">
      <c r="A13" s="2"/>
      <c r="B13" s="2"/>
      <c r="C13" s="2"/>
      <c r="D13" s="3"/>
      <c r="E13" s="2"/>
      <c r="F13" s="2"/>
      <c r="G13" s="2"/>
      <c r="H13" s="2"/>
      <c r="I13" s="2"/>
      <c r="J13" s="2"/>
      <c r="K13" s="3"/>
    </row>
    <row r="14" spans="1:14" ht="20" customHeight="1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5"/>
    </row>
    <row r="15" spans="1:14" ht="20" customHeight="1" x14ac:dyDescent="0.25">
      <c r="A15" s="2"/>
      <c r="B15" s="2"/>
      <c r="C15" s="2"/>
      <c r="D15" s="3"/>
      <c r="E15" s="2"/>
      <c r="F15" s="2"/>
      <c r="G15" s="2"/>
      <c r="H15" s="2"/>
      <c r="I15" s="2"/>
      <c r="J15" s="2"/>
      <c r="K15" s="3"/>
    </row>
    <row r="16" spans="1:14" ht="20" customHeight="1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5"/>
    </row>
    <row r="17" spans="1:11" ht="20" customHeight="1" x14ac:dyDescent="0.25">
      <c r="A17" s="2"/>
      <c r="B17" s="2"/>
      <c r="C17" s="2"/>
      <c r="D17" s="3"/>
      <c r="E17" s="2"/>
      <c r="F17" s="2"/>
      <c r="G17" s="2"/>
      <c r="H17" s="2"/>
      <c r="I17" s="2"/>
      <c r="J17" s="2"/>
      <c r="K17" s="3"/>
    </row>
    <row r="18" spans="1:11" ht="20" customHeight="1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5"/>
    </row>
    <row r="19" spans="1:11" ht="20" customHeight="1" x14ac:dyDescent="0.25">
      <c r="A19" s="2"/>
      <c r="B19" s="2"/>
      <c r="C19" s="2"/>
      <c r="D19" s="3"/>
      <c r="E19" s="2"/>
      <c r="F19" s="2"/>
      <c r="G19" s="2"/>
      <c r="H19" s="2"/>
      <c r="I19" s="2"/>
      <c r="J19" s="2"/>
      <c r="K19" s="3"/>
    </row>
    <row r="20" spans="1:11" ht="20" customHeight="1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5"/>
    </row>
    <row r="21" spans="1:11" ht="20" customHeight="1" x14ac:dyDescent="0.25">
      <c r="A21" s="2"/>
      <c r="B21" s="2"/>
      <c r="C21" s="2"/>
      <c r="D21" s="3"/>
      <c r="E21" s="2"/>
      <c r="F21" s="2"/>
      <c r="G21" s="2"/>
      <c r="H21" s="2"/>
      <c r="I21" s="2"/>
      <c r="J21" s="2"/>
      <c r="K21" s="3"/>
    </row>
    <row r="22" spans="1:11" ht="20" customHeight="1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5"/>
    </row>
  </sheetData>
  <mergeCells count="1">
    <mergeCell ref="A1:J1"/>
  </mergeCells>
  <phoneticPr fontId="18" type="noConversion"/>
  <conditionalFormatting sqref="J3:J500">
    <cfRule type="cellIs" dxfId="2" priority="1" operator="equal">
      <formula>"已完成"</formula>
    </cfRule>
    <cfRule type="cellIs" dxfId="1" priority="2" operator="equal">
      <formula>"进行中"</formula>
    </cfRule>
    <cfRule type="cellIs" dxfId="0" priority="3" operator="equal">
      <formula>"重复（已跳过）"</formula>
    </cfRule>
  </conditionalFormatting>
  <dataValidations count="2">
    <dataValidation type="list" allowBlank="1" sqref="J3:J500" xr:uid="{00000000-0002-0000-0800-000000000000}">
      <formula1>"已完成,进行中,待记录,重复（已跳过）"</formula1>
    </dataValidation>
    <dataValidation type="list" allowBlank="1" sqref="H3:H500" xr:uid="{00000000-0002-0000-0800-000001000000}">
      <formula1>"主食,副食,汤品,小吃,饮品,套餐,其他"</formula1>
    </dataValidation>
  </dataValidations>
  <hyperlinks>
    <hyperlink ref="L1" location="食堂索引!A1" display="← 返回索引" xr:uid="{00000000-0004-0000-08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玉湖</vt:lpstr>
      <vt:lpstr>澄月</vt:lpstr>
      <vt:lpstr>银泉</vt:lpstr>
      <vt:lpstr>大食堂</vt:lpstr>
      <vt:lpstr>临湖</vt:lpstr>
      <vt:lpstr>麦斯威</vt:lpstr>
      <vt:lpstr>麦香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 杨</cp:lastModifiedBy>
  <dcterms:created xsi:type="dcterms:W3CDTF">2026-03-27T05:55:55Z</dcterms:created>
  <dcterms:modified xsi:type="dcterms:W3CDTF">2026-03-27T06:20:06Z</dcterms:modified>
</cp:coreProperties>
</file>